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33131e9de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matrix" sheetId="1" r:id="R13e4814acddd4db7"/>
    <x:sheet xmlns:r="http://schemas.openxmlformats.org/officeDocument/2006/relationships" name="Role map" sheetId="2" r:id="Re45458048421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6252D"/>
      <x:name val="Arial"/>
    </x:font>
    <x:font>
      <x:b/>
      <x:sz val="14"/>
      <x:color rgb="FF16252D"/>
      <x:name val="Arial"/>
    </x:font>
    <x:font>
      <x:i/>
      <x:sz val="10"/>
      <x:color rgb="FF50636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139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2d48f569749ce" /><Relationship Type="http://schemas.openxmlformats.org/officeDocument/2006/relationships/theme" Target="/xl/theme/theme1.xml" Id="Rcaf3487b29d241e6" /><Relationship Type="http://schemas.openxmlformats.org/officeDocument/2006/relationships/sharedStrings" Target="/xl/sharedStrings.xml" Id="R779386f9e4054071" /><Relationship Type="http://schemas.openxmlformats.org/officeDocument/2006/relationships/worksheet" Target="/xl/worksheets/sheet1.xml" Id="R13e4814acddd4db7" /><Relationship Type="http://schemas.openxmlformats.org/officeDocument/2006/relationships/worksheet" Target="/xl/worksheets/sheet2.xml" Id="Re4545804842144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313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4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3" hidden="0" customWidth="1"/>
    <x:col min="12" max="12" width="30" hidden="0" customWidth="1"/>
  </x:cols>
  <x:sheetData>
    <x:row r="2">
      <x:c r="A2" s="2" t="str">
        <x:v>Penetration-testing practice: decision-rights matrix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5" customHeight="1">
      <x:c r="A3" s="3" t="str">
        <x:v>Adapt the role map; assign exactly one A and at least one R per activity. A structural check does not grant test authority.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8" customHeight="1">
      <x:c r="A5" s="10" t="str">
        <x:v>ID</x:v>
      </x:c>
      <x:c r="B5" s="10" t="str">
        <x:v>Practice area</x:v>
      </x:c>
      <x:c r="C5" s="10" t="str">
        <x:v>Activity or decision</x:v>
      </x:c>
      <x:c r="D5" s="10" t="str">
        <x:f>'Role map'!B6</x:f>
        <x:v>Testing practice lead</x:v>
      </x:c>
      <x:c r="E5" s="10" t="str">
        <x:f>'Role map'!B7</x:f>
        <x:v>Engagement lead</x:v>
      </x:c>
      <x:c r="F5" s="10" t="str">
        <x:f>'Role map'!B8</x:f>
        <x:v>Tester</x:v>
      </x:c>
      <x:c r="G5" s="10" t="str">
        <x:f>'Role map'!B9</x:f>
        <x:v>Target owner</x:v>
      </x:c>
      <x:c r="H5" s="10" t="str">
        <x:f>'Role map'!B10</x:f>
        <x:v>Service coordinator</x:v>
      </x:c>
      <x:c r="I5" s="10" t="str">
        <x:f>'Role map'!B11</x:f>
        <x:v>Findings partner</x:v>
      </x:c>
      <x:c r="J5" s="10" t="str">
        <x:f>'Role map'!B12</x:f>
        <x:v>Specialist partner</x:v>
      </x:c>
      <x:c r="K5" s="10" t="str">
        <x:v>Assignment check</x:v>
      </x:c>
      <x:c r="L5" s="10" t="str">
        <x:v>Local boundary or handoff</x:v>
      </x:c>
    </x:row>
    <x:row r="6" ht="23" customHeight="1">
      <x:c r="A6" s="8" t="str">
        <x:v>PL-01</x:v>
      </x:c>
      <x:c r="B6" s="8" t="str">
        <x:v>Planning</x:v>
      </x:c>
      <x:c r="C6" s="8" t="str">
        <x:v>Build the candidate target list</x:v>
      </x:c>
      <x:c r="D6" s="9"/>
      <x:c r="E6" s="9"/>
      <x:c r="F6" s="9"/>
      <x:c r="G6" s="9"/>
      <x:c r="H6" s="9"/>
      <x:c r="I6" s="9"/>
      <x:c r="J6" s="9"/>
      <x:c r="K6" s="8" t="str">
        <x:f>IF(COUNTA(D6:J6)=0,"Unassigned",IF(COUNTIF(D6:J6,"A")+COUNTIF(D6:J6,"R/A")&lt;&gt;1,"Check one A",IF(COUNTIF(D6:J6,"R")+COUNTIF(D6:J6,"R/A")&lt;1,"Add an R","Structurally complete")))</x:f>
        <x:v>Unassigned</x:v>
      </x:c>
      <x:c r="L6" s="8"/>
    </x:row>
    <x:row r="7" ht="23" customHeight="1">
      <x:c r="A7" s="8" t="str">
        <x:v>PL-02</x:v>
      </x:c>
      <x:c r="B7" s="8" t="str">
        <x:v>Planning</x:v>
      </x:c>
      <x:c r="C7" s="8" t="str">
        <x:v>Select and prioritize test targets</x:v>
      </x:c>
      <x:c r="D7" s="9"/>
      <x:c r="E7" s="9"/>
      <x:c r="F7" s="9"/>
      <x:c r="G7" s="9"/>
      <x:c r="H7" s="9"/>
      <x:c r="I7" s="9"/>
      <x:c r="J7" s="9"/>
      <x:c r="K7" s="8" t="str">
        <x:f>IF(COUNTA(D7:J7)=0,"Unassigned",IF(COUNTIF(D7:J7,"A")+COUNTIF(D7:J7,"R/A")&lt;&gt;1,"Check one A",IF(COUNTIF(D7:J7,"R")+COUNTIF(D7:J7,"R/A")&lt;1,"Add an R","Structurally complete")))</x:f>
        <x:v>Unassigned</x:v>
      </x:c>
      <x:c r="L7" s="8"/>
    </x:row>
    <x:row r="8" ht="23" customHeight="1">
      <x:c r="A8" s="8" t="str">
        <x:v>PL-03</x:v>
      </x:c>
      <x:c r="B8" s="8" t="str">
        <x:v>Planning</x:v>
      </x:c>
      <x:c r="C8" s="8" t="str">
        <x:v>Open and schedule an engagement</x:v>
      </x:c>
      <x:c r="D8" s="9"/>
      <x:c r="E8" s="9"/>
      <x:c r="F8" s="9"/>
      <x:c r="G8" s="9"/>
      <x:c r="H8" s="9"/>
      <x:c r="I8" s="9"/>
      <x:c r="J8" s="9"/>
      <x:c r="K8" s="8" t="str">
        <x:f>IF(COUNTA(D8:J8)=0,"Unassigned",IF(COUNTIF(D8:J8,"A")+COUNTIF(D8:J8,"R/A")&lt;&gt;1,"Check one A",IF(COUNTIF(D8:J8,"R")+COUNTIF(D8:J8,"R/A")&lt;1,"Add an R","Structurally complete")))</x:f>
        <x:v>Unassigned</x:v>
      </x:c>
      <x:c r="L8" s="8"/>
    </x:row>
    <x:row r="9" ht="23" customHeight="1">
      <x:c r="A9" s="8" t="str">
        <x:v>PL-04</x:v>
      </x:c>
      <x:c r="B9" s="8" t="str">
        <x:v>Planning</x:v>
      </x:c>
      <x:c r="C9" s="8" t="str">
        <x:v>Gather target and environment facts</x:v>
      </x:c>
      <x:c r="D9" s="9"/>
      <x:c r="E9" s="9"/>
      <x:c r="F9" s="9"/>
      <x:c r="G9" s="9"/>
      <x:c r="H9" s="9"/>
      <x:c r="I9" s="9"/>
      <x:c r="J9" s="9"/>
      <x:c r="K9" s="8" t="str">
        <x:f>IF(COUNTA(D9:J9)=0,"Unassigned",IF(COUNTIF(D9:J9,"A")+COUNTIF(D9:J9,"R/A")&lt;&gt;1,"Check one A",IF(COUNTIF(D9:J9,"R")+COUNTIF(D9:J9,"R/A")&lt;1,"Add an R","Structurally complete")))</x:f>
        <x:v>Unassigned</x:v>
      </x:c>
      <x:c r="L9" s="8"/>
    </x:row>
    <x:row r="10" ht="23" customHeight="1">
      <x:c r="A10" s="8" t="str">
        <x:v>PL-05</x:v>
      </x:c>
      <x:c r="B10" s="8" t="str">
        <x:v>Planning</x:v>
      </x:c>
      <x:c r="C10" s="8" t="str">
        <x:v>Agree the test window</x:v>
      </x:c>
      <x:c r="D10" s="9"/>
      <x:c r="E10" s="9"/>
      <x:c r="F10" s="9"/>
      <x:c r="G10" s="9"/>
      <x:c r="H10" s="9"/>
      <x:c r="I10" s="9"/>
      <x:c r="J10" s="9"/>
      <x:c r="K10" s="8" t="str">
        <x:f>IF(COUNTA(D10:J10)=0,"Unassigned",IF(COUNTIF(D10:J10,"A")+COUNTIF(D10:J10,"R/A")&lt;&gt;1,"Check one A",IF(COUNTIF(D10:J10,"R")+COUNTIF(D10:J10,"R/A")&lt;1,"Add an R","Structurally complete")))</x:f>
        <x:v>Unassigned</x:v>
      </x:c>
      <x:c r="L10" s="8"/>
    </x:row>
    <x:row r="11" ht="23" customHeight="1">
      <x:c r="A11" s="8" t="str">
        <x:v>PL-06</x:v>
      </x:c>
      <x:c r="B11" s="8" t="str">
        <x:v>Planning</x:v>
      </x:c>
      <x:c r="C11" s="8" t="str">
        <x:v>Confirm authority and rules of engagement</x:v>
      </x:c>
      <x:c r="D11" s="9"/>
      <x:c r="E11" s="9"/>
      <x:c r="F11" s="9"/>
      <x:c r="G11" s="9"/>
      <x:c r="H11" s="9"/>
      <x:c r="I11" s="9"/>
      <x:c r="J11" s="9"/>
      <x:c r="K11" s="8" t="str">
        <x:f>IF(COUNTA(D11:J11)=0,"Unassigned",IF(COUNTIF(D11:J11,"A")+COUNTIF(D11:J11,"R/A")&lt;&gt;1,"Check one A",IF(COUNTIF(D11:J11,"R")+COUNTIF(D11:J11,"R/A")&lt;1,"Add an R","Structurally complete")))</x:f>
        <x:v>Unassigned</x:v>
      </x:c>
      <x:c r="L11" s="8"/>
    </x:row>
    <x:row r="12" ht="23" customHeight="1">
      <x:c r="A12" s="8" t="str">
        <x:v>PL-07</x:v>
      </x:c>
      <x:c r="B12" s="8" t="str">
        <x:v>Planning</x:v>
      </x:c>
      <x:c r="C12" s="8" t="str">
        <x:v>Resolve a scope question or change</x:v>
      </x:c>
      <x:c r="D12" s="9"/>
      <x:c r="E12" s="9"/>
      <x:c r="F12" s="9"/>
      <x:c r="G12" s="9"/>
      <x:c r="H12" s="9"/>
      <x:c r="I12" s="9"/>
      <x:c r="J12" s="9"/>
      <x:c r="K12" s="8" t="str">
        <x:f>IF(COUNTA(D12:J12)=0,"Unassigned",IF(COUNTIF(D12:J12,"A")+COUNTIF(D12:J12,"R/A")&lt;&gt;1,"Check one A",IF(COUNTIF(D12:J12,"R")+COUNTIF(D12:J12,"R/A")&lt;1,"Add an R","Structurally complete")))</x:f>
        <x:v>Unassigned</x:v>
      </x:c>
      <x:c r="L12" s="8"/>
    </x:row>
    <x:row r="13" ht="23" customHeight="1">
      <x:c r="A13" s="8" t="str">
        <x:v>RD-01</x:v>
      </x:c>
      <x:c r="B13" s="8" t="str">
        <x:v>Readiness</x:v>
      </x:c>
      <x:c r="C13" s="8" t="str">
        <x:v>Review technical prerequisites</x:v>
      </x:c>
      <x:c r="D13" s="9"/>
      <x:c r="E13" s="9"/>
      <x:c r="F13" s="9"/>
      <x:c r="G13" s="9"/>
      <x:c r="H13" s="9"/>
      <x:c r="I13" s="9"/>
      <x:c r="J13" s="9"/>
      <x:c r="K13" s="8" t="str">
        <x:f>IF(COUNTA(D13:J13)=0,"Unassigned",IF(COUNTIF(D13:J13,"A")+COUNTIF(D13:J13,"R/A")&lt;&gt;1,"Check one A",IF(COUNTIF(D13:J13,"R")+COUNTIF(D13:J13,"R/A")&lt;1,"Add an R","Structurally complete")))</x:f>
        <x:v>Unassigned</x:v>
      </x:c>
      <x:c r="L13" s="8"/>
    </x:row>
    <x:row r="14" ht="23" customHeight="1">
      <x:c r="A14" s="8" t="str">
        <x:v>RD-02</x:v>
      </x:c>
      <x:c r="B14" s="8" t="str">
        <x:v>Readiness</x:v>
      </x:c>
      <x:c r="C14" s="8" t="str">
        <x:v>Confirm authorization evidence is received</x:v>
      </x:c>
      <x:c r="D14" s="9"/>
      <x:c r="E14" s="9"/>
      <x:c r="F14" s="9"/>
      <x:c r="G14" s="9"/>
      <x:c r="H14" s="9"/>
      <x:c r="I14" s="9"/>
      <x:c r="J14" s="9"/>
      <x:c r="K14" s="8" t="str">
        <x:f>IF(COUNTA(D14:J14)=0,"Unassigned",IF(COUNTIF(D14:J14,"A")+COUNTIF(D14:J14,"R/A")&lt;&gt;1,"Check one A",IF(COUNTIF(D14:J14,"R")+COUNTIF(D14:J14,"R/A")&lt;1,"Add an R","Structurally complete")))</x:f>
        <x:v>Unassigned</x:v>
      </x:c>
      <x:c r="L14" s="8"/>
    </x:row>
    <x:row r="15" ht="23" customHeight="1">
      <x:c r="A15" s="8" t="str">
        <x:v>RD-03</x:v>
      </x:c>
      <x:c r="B15" s="8" t="str">
        <x:v>Readiness</x:v>
      </x:c>
      <x:c r="C15" s="8" t="str">
        <x:v>Notify affected parties of the test</x:v>
      </x:c>
      <x:c r="D15" s="9"/>
      <x:c r="E15" s="9"/>
      <x:c r="F15" s="9"/>
      <x:c r="G15" s="9"/>
      <x:c r="H15" s="9"/>
      <x:c r="I15" s="9"/>
      <x:c r="J15" s="9"/>
      <x:c r="K15" s="8" t="str">
        <x:f>IF(COUNTA(D15:J15)=0,"Unassigned",IF(COUNTIF(D15:J15,"A")+COUNTIF(D15:J15,"R/A")&lt;&gt;1,"Check one A",IF(COUNTIF(D15:J15,"R")+COUNTIF(D15:J15,"R/A")&lt;1,"Add an R","Structurally complete")))</x:f>
        <x:v>Unassigned</x:v>
      </x:c>
      <x:c r="L15" s="8"/>
    </x:row>
    <x:row r="16" ht="23" customHeight="1">
      <x:c r="A16" s="8" t="str">
        <x:v>TE-01</x:v>
      </x:c>
      <x:c r="B16" s="8" t="str">
        <x:v>Testing</x:v>
      </x:c>
      <x:c r="C16" s="8" t="str">
        <x:v>Prepare tooling and activity records</x:v>
      </x:c>
      <x:c r="D16" s="9"/>
      <x:c r="E16" s="9"/>
      <x:c r="F16" s="9"/>
      <x:c r="G16" s="9"/>
      <x:c r="H16" s="9"/>
      <x:c r="I16" s="9"/>
      <x:c r="J16" s="9"/>
      <x:c r="K16" s="8" t="str">
        <x:f>IF(COUNTA(D16:J16)=0,"Unassigned",IF(COUNTIF(D16:J16,"A")+COUNTIF(D16:J16,"R/A")&lt;&gt;1,"Check one A",IF(COUNTIF(D16:J16,"R")+COUNTIF(D16:J16,"R/A")&lt;1,"Add an R","Structurally complete")))</x:f>
        <x:v>Unassigned</x:v>
      </x:c>
      <x:c r="L16" s="8"/>
    </x:row>
    <x:row r="17" ht="23" customHeight="1">
      <x:c r="A17" s="8" t="str">
        <x:v>TE-02</x:v>
      </x:c>
      <x:c r="B17" s="8" t="str">
        <x:v>Testing</x:v>
      </x:c>
      <x:c r="C17" s="8" t="str">
        <x:v>Perform the authorized test</x:v>
      </x:c>
      <x:c r="D17" s="9"/>
      <x:c r="E17" s="9"/>
      <x:c r="F17" s="9"/>
      <x:c r="G17" s="9"/>
      <x:c r="H17" s="9"/>
      <x:c r="I17" s="9"/>
      <x:c r="J17" s="9"/>
      <x:c r="K17" s="8" t="str">
        <x:f>IF(COUNTA(D17:J17)=0,"Unassigned",IF(COUNTIF(D17:J17,"A")+COUNTIF(D17:J17,"R/A")&lt;&gt;1,"Check one A",IF(COUNTIF(D17:J17,"R")+COUNTIF(D17:J17,"R/A")&lt;1,"Add an R","Structurally complete")))</x:f>
        <x:v>Unassigned</x:v>
      </x:c>
      <x:c r="L17" s="8"/>
    </x:row>
    <x:row r="18" ht="23" customHeight="1">
      <x:c r="A18" s="8" t="str">
        <x:v>TE-03</x:v>
      </x:c>
      <x:c r="B18" s="8" t="str">
        <x:v>Testing</x:v>
      </x:c>
      <x:c r="C18" s="8" t="str">
        <x:v>Collect and protect evidence</x:v>
      </x:c>
      <x:c r="D18" s="9"/>
      <x:c r="E18" s="9"/>
      <x:c r="F18" s="9"/>
      <x:c r="G18" s="9"/>
      <x:c r="H18" s="9"/>
      <x:c r="I18" s="9"/>
      <x:c r="J18" s="9"/>
      <x:c r="K18" s="8" t="str">
        <x:f>IF(COUNTA(D18:J18)=0,"Unassigned",IF(COUNTIF(D18:J18,"A")+COUNTIF(D18:J18,"R/A")&lt;&gt;1,"Check one A",IF(COUNTIF(D18:J18,"R")+COUNTIF(D18:J18,"R/A")&lt;1,"Add an R","Structurally complete")))</x:f>
        <x:v>Unassigned</x:v>
      </x:c>
      <x:c r="L18" s="8"/>
    </x:row>
    <x:row r="19" ht="23" customHeight="1">
      <x:c r="A19" s="8" t="str">
        <x:v>RE-01</x:v>
      </x:c>
      <x:c r="B19" s="8" t="str">
        <x:v>Reporting</x:v>
      </x:c>
      <x:c r="C19" s="8" t="str">
        <x:v>Draft the engagement report</x:v>
      </x:c>
      <x:c r="D19" s="9"/>
      <x:c r="E19" s="9"/>
      <x:c r="F19" s="9"/>
      <x:c r="G19" s="9"/>
      <x:c r="H19" s="9"/>
      <x:c r="I19" s="9"/>
      <x:c r="J19" s="9"/>
      <x:c r="K19" s="8" t="str">
        <x:f>IF(COUNTA(D19:J19)=0,"Unassigned",IF(COUNTIF(D19:J19,"A")+COUNTIF(D19:J19,"R/A")&lt;&gt;1,"Check one A",IF(COUNTIF(D19:J19,"R")+COUNTIF(D19:J19,"R/A")&lt;1,"Add an R","Structurally complete")))</x:f>
        <x:v>Unassigned</x:v>
      </x:c>
      <x:c r="L19" s="8"/>
    </x:row>
    <x:row r="20" ht="23" customHeight="1">
      <x:c r="A20" s="8" t="str">
        <x:v>RE-02</x:v>
      </x:c>
      <x:c r="B20" s="8" t="str">
        <x:v>Reporting</x:v>
      </x:c>
      <x:c r="C20" s="8" t="str">
        <x:v>Complete technical peer review</x:v>
      </x:c>
      <x:c r="D20" s="9"/>
      <x:c r="E20" s="9"/>
      <x:c r="F20" s="9"/>
      <x:c r="G20" s="9"/>
      <x:c r="H20" s="9"/>
      <x:c r="I20" s="9"/>
      <x:c r="J20" s="9"/>
      <x:c r="K20" s="8" t="str">
        <x:f>IF(COUNTA(D20:J20)=0,"Unassigned",IF(COUNTIF(D20:J20,"A")+COUNTIF(D20:J20,"R/A")&lt;&gt;1,"Check one A",IF(COUNTIF(D20:J20,"R")+COUNTIF(D20:J20,"R/A")&lt;1,"Add an R","Structurally complete")))</x:f>
        <x:v>Unassigned</x:v>
      </x:c>
      <x:c r="L20" s="8"/>
    </x:row>
    <x:row r="21" ht="23" customHeight="1">
      <x:c r="A21" s="8" t="str">
        <x:v>RE-03</x:v>
      </x:c>
      <x:c r="B21" s="8" t="str">
        <x:v>Reporting</x:v>
      </x:c>
      <x:c r="C21" s="8" t="str">
        <x:v>Complete leadership review</x:v>
      </x:c>
      <x:c r="D21" s="9"/>
      <x:c r="E21" s="9"/>
      <x:c r="F21" s="9"/>
      <x:c r="G21" s="9"/>
      <x:c r="H21" s="9"/>
      <x:c r="I21" s="9"/>
      <x:c r="J21" s="9"/>
      <x:c r="K21" s="8" t="str">
        <x:f>IF(COUNTA(D21:J21)=0,"Unassigned",IF(COUNTIF(D21:J21,"A")+COUNTIF(D21:J21,"R/A")&lt;&gt;1,"Check one A",IF(COUNTIF(D21:J21,"R")+COUNTIF(D21:J21,"R/A")&lt;1,"Add an R","Structurally complete")))</x:f>
        <x:v>Unassigned</x:v>
      </x:c>
      <x:c r="L21" s="8"/>
    </x:row>
    <x:row r="22" ht="23" customHeight="1">
      <x:c r="A22" s="8" t="str">
        <x:v>RE-04</x:v>
      </x:c>
      <x:c r="B22" s="8" t="str">
        <x:v>Reporting</x:v>
      </x:c>
      <x:c r="C22" s="8" t="str">
        <x:v>Hold the closing readout</x:v>
      </x:c>
      <x:c r="D22" s="9"/>
      <x:c r="E22" s="9"/>
      <x:c r="F22" s="9"/>
      <x:c r="G22" s="9"/>
      <x:c r="H22" s="9"/>
      <x:c r="I22" s="9"/>
      <x:c r="J22" s="9"/>
      <x:c r="K22" s="8" t="str">
        <x:f>IF(COUNTA(D22:J22)=0,"Unassigned",IF(COUNTIF(D22:J22,"A")+COUNTIF(D22:J22,"R/A")&lt;&gt;1,"Check one A",IF(COUNTIF(D22:J22,"R")+COUNTIF(D22:J22,"R/A")&lt;1,"Add an R","Structurally complete")))</x:f>
        <x:v>Unassigned</x:v>
      </x:c>
      <x:c r="L22" s="8"/>
    </x:row>
    <x:row r="23" ht="23" customHeight="1">
      <x:c r="A23" s="8" t="str">
        <x:v>FI-01</x:v>
      </x:c>
      <x:c r="B23" s="8" t="str">
        <x:v>Findings</x:v>
      </x:c>
      <x:c r="C23" s="8" t="str">
        <x:v>Transfer validated findings to the receiving workflow</x:v>
      </x:c>
      <x:c r="D23" s="9"/>
      <x:c r="E23" s="9"/>
      <x:c r="F23" s="9"/>
      <x:c r="G23" s="9"/>
      <x:c r="H23" s="9"/>
      <x:c r="I23" s="9"/>
      <x:c r="J23" s="9"/>
      <x:c r="K23" s="8" t="str">
        <x:f>IF(COUNTA(D23:J23)=0,"Unassigned",IF(COUNTIF(D23:J23,"A")+COUNTIF(D23:J23,"R/A")&lt;&gt;1,"Check one A",IF(COUNTIF(D23:J23,"R")+COUNTIF(D23:J23,"R/A")&lt;1,"Add an R","Structurally complete")))</x:f>
        <x:v>Unassigned</x:v>
      </x:c>
      <x:c r="L23" s="8"/>
    </x:row>
    <x:row r="24" ht="23" customHeight="1">
      <x:c r="A24" s="8" t="str">
        <x:v>FI-02</x:v>
      </x:c>
      <x:c r="B24" s="8" t="str">
        <x:v>Findings</x:v>
      </x:c>
      <x:c r="C24" s="8" t="str">
        <x:v>Notify issue owners of published findings</x:v>
      </x:c>
      <x:c r="D24" s="9"/>
      <x:c r="E24" s="9"/>
      <x:c r="F24" s="9"/>
      <x:c r="G24" s="9"/>
      <x:c r="H24" s="9"/>
      <x:c r="I24" s="9"/>
      <x:c r="J24" s="9"/>
      <x:c r="K24" s="8" t="str">
        <x:f>IF(COUNTA(D24:J24)=0,"Unassigned",IF(COUNTIF(D24:J24,"A")+COUNTIF(D24:J24,"R/A")&lt;&gt;1,"Check one A",IF(COUNTIF(D24:J24,"R")+COUNTIF(D24:J24,"R/A")&lt;1,"Add an R","Structurally complete")))</x:f>
        <x:v>Unassigned</x:v>
      </x:c>
      <x:c r="L24" s="8"/>
    </x:row>
    <x:row r="25" ht="23" customHeight="1">
      <x:c r="A25" s="8" t="str">
        <x:v>FI-03</x:v>
      </x:c>
      <x:c r="B25" s="8" t="str">
        <x:v>Findings</x:v>
      </x:c>
      <x:c r="C25" s="8" t="str">
        <x:v>Archive the report and delivery record</x:v>
      </x:c>
      <x:c r="D25" s="9"/>
      <x:c r="E25" s="9"/>
      <x:c r="F25" s="9"/>
      <x:c r="G25" s="9"/>
      <x:c r="H25" s="9"/>
      <x:c r="I25" s="9"/>
      <x:c r="J25" s="9"/>
      <x:c r="K25" s="8" t="str">
        <x:f>IF(COUNTA(D25:J25)=0,"Unassigned",IF(COUNTIF(D25:J25,"A")+COUNTIF(D25:J25,"R/A")&lt;&gt;1,"Check one A",IF(COUNTIF(D25:J25,"R")+COUNTIF(D25:J25,"R/A")&lt;1,"Add an R","Structurally complete")))</x:f>
        <x:v>Unassigned</x:v>
      </x:c>
      <x:c r="L25" s="8"/>
    </x:row>
    <x:row r="26" ht="23" customHeight="1">
      <x:c r="A26" s="8" t="str">
        <x:v>FI-04</x:v>
      </x:c>
      <x:c r="B26" s="8" t="str">
        <x:v>Findings</x:v>
      </x:c>
      <x:c r="C26" s="8" t="str">
        <x:v>Validate retest evidence for issue closure</x:v>
      </x:c>
      <x:c r="D26" s="9"/>
      <x:c r="E26" s="9"/>
      <x:c r="F26" s="9"/>
      <x:c r="G26" s="9"/>
      <x:c r="H26" s="9"/>
      <x:c r="I26" s="9"/>
      <x:c r="J26" s="9"/>
      <x:c r="K26" s="8" t="str">
        <x:f>IF(COUNTA(D26:J26)=0,"Unassigned",IF(COUNTIF(D26:J26,"A")+COUNTIF(D26:J26,"R/A")&lt;&gt;1,"Check one A",IF(COUNTIF(D26:J26,"R")+COUNTIF(D26:J26,"R/A")&lt;1,"Add an R","Structurally complete")))</x:f>
        <x:v>Unassigned</x:v>
      </x:c>
      <x:c r="L26" s="8"/>
    </x:row>
    <x:row r="27" ht="23" customHeight="1">
      <x:c r="A27" s="8" t="str">
        <x:v>CO-01</x:v>
      </x:c>
      <x:c r="B27" s="8" t="str">
        <x:v>Consulting</x:v>
      </x:c>
      <x:c r="C27" s="8" t="str">
        <x:v>Maintain consulting coverage</x:v>
      </x:c>
      <x:c r="D27" s="9"/>
      <x:c r="E27" s="9"/>
      <x:c r="F27" s="9"/>
      <x:c r="G27" s="9"/>
      <x:c r="H27" s="9"/>
      <x:c r="I27" s="9"/>
      <x:c r="J27" s="9"/>
      <x:c r="K27" s="8" t="str">
        <x:f>IF(COUNTA(D27:J27)=0,"Unassigned",IF(COUNTIF(D27:J27,"A")+COUNTIF(D27:J27,"R/A")&lt;&gt;1,"Check one A",IF(COUNTIF(D27:J27,"R")+COUNTIF(D27:J27,"R/A")&lt;1,"Add an R","Structurally complete")))</x:f>
        <x:v>Unassigned</x:v>
      </x:c>
      <x:c r="L27" s="8"/>
    </x:row>
    <x:row r="28" ht="23" customHeight="1">
      <x:c r="A28" s="8" t="str">
        <x:v>CO-02</x:v>
      </x:c>
      <x:c r="B28" s="8" t="str">
        <x:v>Consulting</x:v>
      </x:c>
      <x:c r="C28" s="8" t="str">
        <x:v>Triage consulting requests</x:v>
      </x:c>
      <x:c r="D28" s="9"/>
      <x:c r="E28" s="9"/>
      <x:c r="F28" s="9"/>
      <x:c r="G28" s="9"/>
      <x:c r="H28" s="9"/>
      <x:c r="I28" s="9"/>
      <x:c r="J28" s="9"/>
      <x:c r="K28" s="8" t="str">
        <x:f>IF(COUNTA(D28:J28)=0,"Unassigned",IF(COUNTIF(D28:J28,"A")+COUNTIF(D28:J28,"R/A")&lt;&gt;1,"Check one A",IF(COUNTIF(D28:J28,"R")+COUNTIF(D28:J28,"R/A")&lt;1,"Add an R","Structurally complete")))</x:f>
        <x:v>Unassigned</x:v>
      </x:c>
      <x:c r="L28" s="8"/>
    </x:row>
    <x:row r="29" ht="23" customHeight="1">
      <x:c r="A29" s="8" t="str">
        <x:v>CO-03</x:v>
      </x:c>
      <x:c r="B29" s="8" t="str">
        <x:v>Consulting</x:v>
      </x:c>
      <x:c r="C29" s="8" t="str">
        <x:v>Run office hours or an equivalent service lane</x:v>
      </x:c>
      <x:c r="D29" s="9"/>
      <x:c r="E29" s="9"/>
      <x:c r="F29" s="9"/>
      <x:c r="G29" s="9"/>
      <x:c r="H29" s="9"/>
      <x:c r="I29" s="9"/>
      <x:c r="J29" s="9"/>
      <x:c r="K29" s="8" t="str">
        <x:f>IF(COUNTA(D29:J29)=0,"Unassigned",IF(COUNTIF(D29:J29,"A")+COUNTIF(D29:J29,"R/A")&lt;&gt;1,"Check one A",IF(COUNTIF(D29:J29,"R")+COUNTIF(D29:J29,"R/A")&lt;1,"Add an R","Structurally complete")))</x:f>
        <x:v>Unassigned</x:v>
      </x:c>
      <x:c r="L29" s="8"/>
    </x:row>
    <x:row r="30" ht="23" customHeight="1">
      <x:c r="A30" s="8" t="str">
        <x:v>CO-04</x:v>
      </x:c>
      <x:c r="B30" s="8" t="str">
        <x:v>Consulting</x:v>
      </x:c>
      <x:c r="C30" s="8" t="str">
        <x:v>Escalate unresolved technical or customer issues</x:v>
      </x:c>
      <x:c r="D30" s="9"/>
      <x:c r="E30" s="9"/>
      <x:c r="F30" s="9"/>
      <x:c r="G30" s="9"/>
      <x:c r="H30" s="9"/>
      <x:c r="I30" s="9"/>
      <x:c r="J30" s="9"/>
      <x:c r="K30" s="8" t="str">
        <x:f>IF(COUNTA(D30:J30)=0,"Unassigned",IF(COUNTIF(D30:J30,"A")+COUNTIF(D30:J30,"R/A")&lt;&gt;1,"Check one A",IF(COUNTIF(D30:J30,"R")+COUNTIF(D30:J30,"R/A")&lt;1,"Add an R","Structurally complete")))</x:f>
        <x:v>Unassigned</x:v>
      </x:c>
      <x:c r="L30" s="8"/>
    </x:row>
    <x:row r="31" ht="23" customHeight="1">
      <x:c r="A31" s="8" t="str">
        <x:v>PR-01</x:v>
      </x:c>
      <x:c r="B31" s="8" t="str">
        <x:v>Practice operations</x:v>
      </x:c>
      <x:c r="C31" s="8" t="str">
        <x:v>Manage the service backlog and planning cycle</x:v>
      </x:c>
      <x:c r="D31" s="9"/>
      <x:c r="E31" s="9"/>
      <x:c r="F31" s="9"/>
      <x:c r="G31" s="9"/>
      <x:c r="H31" s="9"/>
      <x:c r="I31" s="9"/>
      <x:c r="J31" s="9"/>
      <x:c r="K31" s="8" t="str">
        <x:f>IF(COUNTA(D31:J31)=0,"Unassigned",IF(COUNTIF(D31:J31,"A")+COUNTIF(D31:J31,"R/A")&lt;&gt;1,"Check one A",IF(COUNTIF(D31:J31,"R")+COUNTIF(D31:J31,"R/A")&lt;1,"Add an R","Structurally complete")))</x:f>
        <x:v>Unassigned</x:v>
      </x:c>
      <x:c r="L31" s="8"/>
    </x:row>
    <x:row r="32" ht="23" customHeight="1">
      <x:c r="A32" s="8" t="str">
        <x:v>PR-02</x:v>
      </x:c>
      <x:c r="B32" s="8" t="str">
        <x:v>Practice operations</x:v>
      </x:c>
      <x:c r="C32" s="8" t="str">
        <x:v>Triage adjacent assessment requests</x:v>
      </x:c>
      <x:c r="D32" s="9"/>
      <x:c r="E32" s="9"/>
      <x:c r="F32" s="9"/>
      <x:c r="G32" s="9"/>
      <x:c r="H32" s="9"/>
      <x:c r="I32" s="9"/>
      <x:c r="J32" s="9"/>
      <x:c r="K32" s="8" t="str">
        <x:f>IF(COUNTA(D32:J32)=0,"Unassigned",IF(COUNTIF(D32:J32,"A")+COUNTIF(D32:J32,"R/A")&lt;&gt;1,"Check one A",IF(COUNTIF(D32:J32,"R")+COUNTIF(D32:J32,"R/A")&lt;1,"Add an R","Structurally complete")))</x:f>
        <x:v>Unassigned</x:v>
      </x:c>
      <x:c r="L32" s="8"/>
    </x:row>
    <x:row r="33" ht="23" customHeight="1">
      <x:c r="A33" s="8" t="str">
        <x:v>PR-03</x:v>
      </x:c>
      <x:c r="B33" s="8" t="str">
        <x:v>Practice operations</x:v>
      </x:c>
      <x:c r="C33" s="8" t="str">
        <x:v>Maintain the method corpus and document register</x:v>
      </x:c>
      <x:c r="D33" s="9"/>
      <x:c r="E33" s="9"/>
      <x:c r="F33" s="9"/>
      <x:c r="G33" s="9"/>
      <x:c r="H33" s="9"/>
      <x:c r="I33" s="9"/>
      <x:c r="J33" s="9"/>
      <x:c r="K33" s="8" t="str">
        <x:f>IF(COUNTA(D33:J33)=0,"Unassigned",IF(COUNTIF(D33:J33,"A")+COUNTIF(D33:J33,"R/A")&lt;&gt;1,"Check one A",IF(COUNTIF(D33:J33,"R")+COUNTIF(D33:J33,"R/A")&lt;1,"Add an R","Structurally complete")))</x:f>
        <x:v>Unassigned</x:v>
      </x:c>
      <x:c r="L33" s="8"/>
    </x:row>
    <x:row r="34" ht="23" customHeight="1">
      <x:c r="A34" s="8" t="str">
        <x:v>PR-04</x:v>
      </x:c>
      <x:c r="B34" s="8" t="str">
        <x:v>Practice operations</x:v>
      </x:c>
      <x:c r="C34" s="8" t="str">
        <x:v>Review lessons and improvement proposals</x:v>
      </x:c>
      <x:c r="D34" s="9"/>
      <x:c r="E34" s="9"/>
      <x:c r="F34" s="9"/>
      <x:c r="G34" s="9"/>
      <x:c r="H34" s="9"/>
      <x:c r="I34" s="9"/>
      <x:c r="J34" s="9"/>
      <x:c r="K34" s="8" t="str">
        <x:f>IF(COUNTA(D34:J34)=0,"Unassigned",IF(COUNTIF(D34:J34,"A")+COUNTIF(D34:J34,"R/A")&lt;&gt;1,"Check one A",IF(COUNTIF(D34:J34,"R")+COUNTIF(D34:J34,"R/A")&lt;1,"Add an R","Structurally complete")))</x:f>
        <x:v>Unassigned</x:v>
      </x:c>
      <x:c r="L34" s="8"/>
    </x:row>
    <x:row r="35" ht="23" customHeight="1">
      <x:c r="A35" s="8" t="str">
        <x:v>TO-01</x:v>
      </x:c>
      <x:c r="B35" s="8" t="str">
        <x:v>Tool capability</x:v>
      </x:c>
      <x:c r="C35" s="8" t="str">
        <x:v>Screen candidate tools</x:v>
      </x:c>
      <x:c r="D35" s="9"/>
      <x:c r="E35" s="9"/>
      <x:c r="F35" s="9"/>
      <x:c r="G35" s="9"/>
      <x:c r="H35" s="9"/>
      <x:c r="I35" s="9"/>
      <x:c r="J35" s="9"/>
      <x:c r="K35" s="8" t="str">
        <x:f>IF(COUNTA(D35:J35)=0,"Unassigned",IF(COUNTIF(D35:J35,"A")+COUNTIF(D35:J35,"R/A")&lt;&gt;1,"Check one A",IF(COUNTIF(D35:J35,"R")+COUNTIF(D35:J35,"R/A")&lt;1,"Add an R","Structurally complete")))</x:f>
        <x:v>Unassigned</x:v>
      </x:c>
      <x:c r="L35" s="8"/>
    </x:row>
    <x:row r="36" ht="23" customHeight="1">
      <x:c r="A36" s="8" t="str">
        <x:v>TO-02</x:v>
      </x:c>
      <x:c r="B36" s="8" t="str">
        <x:v>Tool capability</x:v>
      </x:c>
      <x:c r="C36" s="8" t="str">
        <x:v>Assess tool safety and permitted environment</x:v>
      </x:c>
      <x:c r="D36" s="9"/>
      <x:c r="E36" s="9"/>
      <x:c r="F36" s="9"/>
      <x:c r="G36" s="9"/>
      <x:c r="H36" s="9"/>
      <x:c r="I36" s="9"/>
      <x:c r="J36" s="9"/>
      <x:c r="K36" s="8" t="str">
        <x:f>IF(COUNTA(D36:J36)=0,"Unassigned",IF(COUNTIF(D36:J36,"A")+COUNTIF(D36:J36,"R/A")&lt;&gt;1,"Check one A",IF(COUNTIF(D36:J36,"R")+COUNTIF(D36:J36,"R/A")&lt;1,"Add an R","Structurally complete")))</x:f>
        <x:v>Unassigned</x:v>
      </x:c>
      <x:c r="L36" s="8"/>
    </x:row>
    <x:row r="37" ht="23" customHeight="1">
      <x:c r="A37" s="8" t="str">
        <x:v>TO-03</x:v>
      </x:c>
      <x:c r="B37" s="8" t="str">
        <x:v>Tool capability</x:v>
      </x:c>
      <x:c r="C37" s="8" t="str">
        <x:v>Run a bounded proof of concept</x:v>
      </x:c>
      <x:c r="D37" s="9"/>
      <x:c r="E37" s="9"/>
      <x:c r="F37" s="9"/>
      <x:c r="G37" s="9"/>
      <x:c r="H37" s="9"/>
      <x:c r="I37" s="9"/>
      <x:c r="J37" s="9"/>
      <x:c r="K37" s="8" t="str">
        <x:f>IF(COUNTA(D37:J37)=0,"Unassigned",IF(COUNTIF(D37:J37,"A")+COUNTIF(D37:J37,"R/A")&lt;&gt;1,"Check one A",IF(COUNTIF(D37:J37,"R")+COUNTIF(D37:J37,"R/A")&lt;1,"Add an R","Structurally complete")))</x:f>
        <x:v>Unassigned</x:v>
      </x:c>
      <x:c r="L37" s="8"/>
    </x:row>
    <x:row r="38" ht="23" customHeight="1">
      <x:c r="A38" s="8" t="str">
        <x:v>TO-04</x:v>
      </x:c>
      <x:c r="B38" s="8" t="str">
        <x:v>Tool capability</x:v>
      </x:c>
      <x:c r="C38" s="8" t="str">
        <x:v>Compare candidate capability against a stated bar</x:v>
      </x:c>
      <x:c r="D38" s="9"/>
      <x:c r="E38" s="9"/>
      <x:c r="F38" s="9"/>
      <x:c r="G38" s="9"/>
      <x:c r="H38" s="9"/>
      <x:c r="I38" s="9"/>
      <x:c r="J38" s="9"/>
      <x:c r="K38" s="8" t="str">
        <x:f>IF(COUNTA(D38:J38)=0,"Unassigned",IF(COUNTIF(D38:J38,"A")+COUNTIF(D38:J38,"R/A")&lt;&gt;1,"Check one A",IF(COUNTIF(D38:J38,"R")+COUNTIF(D38:J38,"R/A")&lt;1,"Add an R","Structurally complete")))</x:f>
        <x:v>Unassigned</x:v>
      </x:c>
      <x:c r="L38" s="8"/>
    </x:row>
    <x:row r="39" ht="23" customHeight="1">
      <x:c r="A39" s="8" t="str">
        <x:v>TO-05</x:v>
      </x:c>
      <x:c r="B39" s="8" t="str">
        <x:v>Tool capability</x:v>
      </x:c>
      <x:c r="C39" s="8" t="str">
        <x:v>Decide whether tool output may enter delivery</x:v>
      </x:c>
      <x:c r="D39" s="9"/>
      <x:c r="E39" s="9"/>
      <x:c r="F39" s="9"/>
      <x:c r="G39" s="9"/>
      <x:c r="H39" s="9"/>
      <x:c r="I39" s="9"/>
      <x:c r="J39" s="9"/>
      <x:c r="K39" s="8" t="str">
        <x:f>IF(COUNTA(D39:J39)=0,"Unassigned",IF(COUNTIF(D39:J39,"A")+COUNTIF(D39:J39,"R/A")&lt;&gt;1,"Check one A",IF(COUNTIF(D39:J39,"R")+COUNTIF(D39:J39,"R/A")&lt;1,"Add an R","Structurally complete")))</x:f>
        <x:v>Unassigned</x:v>
      </x:c>
      <x:c r="L39" s="8"/>
    </x:row>
    <x:row r="40" ht="23" customHeight="1">
      <x:c r="A40" s="8" t="str">
        <x:v>TO-06</x:v>
      </x:c>
      <x:c r="B40" s="8" t="str">
        <x:v>Tool capability</x:v>
      </x:c>
      <x:c r="C40" s="8" t="str">
        <x:v>Prepare a buy, build or change proposal</x:v>
      </x:c>
      <x:c r="D40" s="9"/>
      <x:c r="E40" s="9"/>
      <x:c r="F40" s="9"/>
      <x:c r="G40" s="9"/>
      <x:c r="H40" s="9"/>
      <x:c r="I40" s="9"/>
      <x:c r="J40" s="9"/>
      <x:c r="K40" s="8" t="str">
        <x:f>IF(COUNTA(D40:J40)=0,"Unassigned",IF(COUNTIF(D40:J40,"A")+COUNTIF(D40:J40,"R/A")&lt;&gt;1,"Check one A",IF(COUNTIF(D40:J40,"R")+COUNTIF(D40:J40,"R/A")&lt;1,"Add an R","Structurally complete")))</x:f>
        <x:v>Unassigned</x:v>
      </x:c>
      <x:c r="L40" s="8"/>
    </x:row>
    <x:row r="41" ht="23" customHeight="1">
      <x:c r="A41" s="8" t="str">
        <x:v>AI-01</x:v>
      </x:c>
      <x:c r="B41" s="8" t="str">
        <x:v>AI tool governance</x:v>
      </x:c>
      <x:c r="C41" s="8" t="str">
        <x:v>Classify and record an AI-assisted tool</x:v>
      </x:c>
      <x:c r="D41" s="9"/>
      <x:c r="E41" s="9"/>
      <x:c r="F41" s="9"/>
      <x:c r="G41" s="9"/>
      <x:c r="H41" s="9"/>
      <x:c r="I41" s="9"/>
      <x:c r="J41" s="9"/>
      <x:c r="K41" s="8" t="str">
        <x:f>IF(COUNTA(D41:J41)=0,"Unassigned",IF(COUNTIF(D41:J41,"A")+COUNTIF(D41:J41,"R/A")&lt;&gt;1,"Check one A",IF(COUNTIF(D41:J41,"R")+COUNTIF(D41:J41,"R/A")&lt;1,"Add an R","Structurally complete")))</x:f>
        <x:v>Unassigned</x:v>
      </x:c>
      <x:c r="L41" s="8"/>
    </x:row>
    <x:row r="42" ht="23" customHeight="1">
      <x:c r="A42" s="8" t="str">
        <x:v>AI-02</x:v>
      </x:c>
      <x:c r="B42" s="8" t="str">
        <x:v>AI tool governance</x:v>
      </x:c>
      <x:c r="C42" s="8" t="str">
        <x:v>Maintain tool and component records</x:v>
      </x:c>
      <x:c r="D42" s="9"/>
      <x:c r="E42" s="9"/>
      <x:c r="F42" s="9"/>
      <x:c r="G42" s="9"/>
      <x:c r="H42" s="9"/>
      <x:c r="I42" s="9"/>
      <x:c r="J42" s="9"/>
      <x:c r="K42" s="8" t="str">
        <x:f>IF(COUNTA(D42:J42)=0,"Unassigned",IF(COUNTIF(D42:J42,"A")+COUNTIF(D42:J42,"R/A")&lt;&gt;1,"Check one A",IF(COUNTIF(D42:J42,"R")+COUNTIF(D42:J42,"R/A")&lt;1,"Add an R","Structurally complete")))</x:f>
        <x:v>Unassigned</x:v>
      </x:c>
      <x:c r="L42" s="8"/>
    </x:row>
    <x:row r="43" ht="23" customHeight="1">
      <x:c r="A43" s="8" t="str">
        <x:v>AI-03</x:v>
      </x:c>
      <x:c r="B43" s="8" t="str">
        <x:v>AI tool governance</x:v>
      </x:c>
      <x:c r="C43" s="8" t="str">
        <x:v>Validate AI-assisted output in an engagement</x:v>
      </x:c>
      <x:c r="D43" s="9"/>
      <x:c r="E43" s="9"/>
      <x:c r="F43" s="9"/>
      <x:c r="G43" s="9"/>
      <x:c r="H43" s="9"/>
      <x:c r="I43" s="9"/>
      <x:c r="J43" s="9"/>
      <x:c r="K43" s="8" t="str">
        <x:f>IF(COUNTA(D43:J43)=0,"Unassigned",IF(COUNTIF(D43:J43,"A")+COUNTIF(D43:J43,"R/A")&lt;&gt;1,"Check one A",IF(COUNTIF(D43:J43,"R")+COUNTIF(D43:J43,"R/A")&lt;1,"Add an R","Structurally complete")))</x:f>
        <x:v>Unassigned</x:v>
      </x:c>
      <x:c r="L43" s="8"/>
    </x:row>
    <x:row r="44" ht="23" customHeight="1">
      <x:c r="A44" s="8" t="str">
        <x:v>AI-04</x:v>
      </x:c>
      <x:c r="B44" s="8" t="str">
        <x:v>AI tool governance</x:v>
      </x:c>
      <x:c r="C44" s="8" t="str">
        <x:v>Coordinate external governance or registration</x:v>
      </x:c>
      <x:c r="D44" s="9"/>
      <x:c r="E44" s="9"/>
      <x:c r="F44" s="9"/>
      <x:c r="G44" s="9"/>
      <x:c r="H44" s="9"/>
      <x:c r="I44" s="9"/>
      <x:c r="J44" s="9"/>
      <x:c r="K44" s="8" t="str">
        <x:f>IF(COUNTA(D44:J44)=0,"Unassigned",IF(COUNTIF(D44:J44,"A")+COUNTIF(D44:J44,"R/A")&lt;&gt;1,"Check one A",IF(COUNTIF(D44:J44,"R")+COUNTIF(D44:J44,"R/A")&lt;1,"Add an R","Structurally complete")))</x:f>
        <x:v>Unassigned</x:v>
      </x:c>
      <x:c r="L44" s="8"/>
    </x:row>
    <x:row r="45" ht="23" customHeight="1">
      <x:c r="A45" s="8" t="str">
        <x:v>TH-01</x:v>
      </x:c>
      <x:c r="B45" s="8" t="str">
        <x:v>Threat-informed work</x:v>
      </x:c>
      <x:c r="C45" s="8" t="str">
        <x:v>Receive relevant threat intelligence</x:v>
      </x:c>
      <x:c r="D45" s="9"/>
      <x:c r="E45" s="9"/>
      <x:c r="F45" s="9"/>
      <x:c r="G45" s="9"/>
      <x:c r="H45" s="9"/>
      <x:c r="I45" s="9"/>
      <x:c r="J45" s="9"/>
      <x:c r="K45" s="8" t="str">
        <x:f>IF(COUNTA(D45:J45)=0,"Unassigned",IF(COUNTIF(D45:J45,"A")+COUNTIF(D45:J45,"R/A")&lt;&gt;1,"Check one A",IF(COUNTIF(D45:J45,"R")+COUNTIF(D45:J45,"R/A")&lt;1,"Add an R","Structurally complete")))</x:f>
        <x:v>Unassigned</x:v>
      </x:c>
      <x:c r="L45" s="8"/>
    </x:row>
    <x:row r="46" ht="23" customHeight="1">
      <x:c r="A46" s="8" t="str">
        <x:v>TH-02</x:v>
      </x:c>
      <x:c r="B46" s="8" t="str">
        <x:v>Threat-informed work</x:v>
      </x:c>
      <x:c r="C46" s="8" t="str">
        <x:v>Map a threat to authorized targets</x:v>
      </x:c>
      <x:c r="D46" s="9"/>
      <x:c r="E46" s="9"/>
      <x:c r="F46" s="9"/>
      <x:c r="G46" s="9"/>
      <x:c r="H46" s="9"/>
      <x:c r="I46" s="9"/>
      <x:c r="J46" s="9"/>
      <x:c r="K46" s="8" t="str">
        <x:f>IF(COUNTA(D46:J46)=0,"Unassigned",IF(COUNTIF(D46:J46,"A")+COUNTIF(D46:J46,"R/A")&lt;&gt;1,"Check one A",IF(COUNTIF(D46:J46,"R")+COUNTIF(D46:J46,"R/A")&lt;1,"Add an R","Structurally complete")))</x:f>
        <x:v>Unassigned</x:v>
      </x:c>
      <x:c r="L46" s="8"/>
    </x:row>
    <x:row r="47" ht="23" customHeight="1">
      <x:c r="A47" s="8" t="str">
        <x:v>TH-03</x:v>
      </x:c>
      <x:c r="B47" s="8" t="str">
        <x:v>Threat-informed work</x:v>
      </x:c>
      <x:c r="C47" s="8" t="str">
        <x:v>Decide whether testing priorities change</x:v>
      </x:c>
      <x:c r="D47" s="9"/>
      <x:c r="E47" s="9"/>
      <x:c r="F47" s="9"/>
      <x:c r="G47" s="9"/>
      <x:c r="H47" s="9"/>
      <x:c r="I47" s="9"/>
      <x:c r="J47" s="9"/>
      <x:c r="K47" s="8" t="str">
        <x:f>IF(COUNTA(D47:J47)=0,"Unassigned",IF(COUNTIF(D47:J47,"A")+COUNTIF(D47:J47,"R/A")&lt;&gt;1,"Check one A",IF(COUNTIF(D47:J47,"R")+COUNTIF(D47:J47,"R/A")&lt;1,"Add an R","Structurally complete")))</x:f>
        <x:v>Unassigned</x:v>
      </x:c>
      <x:c r="L47" s="8"/>
    </x:row>
    <x:row r="48" ht="23" customHeight="1">
      <x:c r="A48" s="8" t="str">
        <x:v>UR-01</x:v>
      </x:c>
      <x:c r="B48" s="8" t="str">
        <x:v>Urgent response</x:v>
      </x:c>
      <x:c r="C48" s="8" t="str">
        <x:v>Maintain urgent-response coverage</x:v>
      </x:c>
      <x:c r="D48" s="9"/>
      <x:c r="E48" s="9"/>
      <x:c r="F48" s="9"/>
      <x:c r="G48" s="9"/>
      <x:c r="H48" s="9"/>
      <x:c r="I48" s="9"/>
      <x:c r="J48" s="9"/>
      <x:c r="K48" s="8" t="str">
        <x:f>IF(COUNTA(D48:J48)=0,"Unassigned",IF(COUNTIF(D48:J48,"A")+COUNTIF(D48:J48,"R/A")&lt;&gt;1,"Check one A",IF(COUNTIF(D48:J48,"R")+COUNTIF(D48:J48,"R/A")&lt;1,"Add an R","Structurally complete")))</x:f>
        <x:v>Unassigned</x:v>
      </x:c>
      <x:c r="L48" s="8"/>
    </x:row>
    <x:row r="49" ht="23" customHeight="1">
      <x:c r="A49" s="8" t="str">
        <x:v>UR-02</x:v>
      </x:c>
      <x:c r="B49" s="8" t="str">
        <x:v>Urgent response</x:v>
      </x:c>
      <x:c r="C49" s="8" t="str">
        <x:v>Triage a time-sensitive threat or vulnerability</x:v>
      </x:c>
      <x:c r="D49" s="9"/>
      <x:c r="E49" s="9"/>
      <x:c r="F49" s="9"/>
      <x:c r="G49" s="9"/>
      <x:c r="H49" s="9"/>
      <x:c r="I49" s="9"/>
      <x:c r="J49" s="9"/>
      <x:c r="K49" s="8" t="str">
        <x:f>IF(COUNTA(D49:J49)=0,"Unassigned",IF(COUNTIF(D49:J49,"A")+COUNTIF(D49:J49,"R/A")&lt;&gt;1,"Check one A",IF(COUNTIF(D49:J49,"R")+COUNTIF(D49:J49,"R/A")&lt;1,"Add an R","Structurally complete")))</x:f>
        <x:v>Unassigned</x:v>
      </x:c>
      <x:c r="L49" s="8"/>
    </x:row>
    <x:row r="50" ht="23" customHeight="1">
      <x:c r="A50" s="8" t="str">
        <x:v>UR-03</x:v>
      </x:c>
      <x:c r="B50" s="8" t="str">
        <x:v>Urgent response</x:v>
      </x:c>
      <x:c r="C50" s="8" t="str">
        <x:v>Provide surge consulting or leadership support</x:v>
      </x:c>
      <x:c r="D50" s="9"/>
      <x:c r="E50" s="9"/>
      <x:c r="F50" s="9"/>
      <x:c r="G50" s="9"/>
      <x:c r="H50" s="9"/>
      <x:c r="I50" s="9"/>
      <x:c r="J50" s="9"/>
      <x:c r="K50" s="8" t="str">
        <x:f>IF(COUNTA(D50:J50)=0,"Unassigned",IF(COUNTIF(D50:J50,"A")+COUNTIF(D50:J50,"R/A")&lt;&gt;1,"Check one A",IF(COUNTIF(D50:J50,"R")+COUNTIF(D50:J50,"R/A")&lt;1,"Add an R","Structurally complete")))</x:f>
        <x:v>Unassigned</x:v>
      </x:c>
      <x:c r="L50" s="8"/>
    </x:row>
    <x:row r="51" ht="23" customHeight="1">
      <x:c r="A51" s="8" t="str">
        <x:v>PE-01</x:v>
      </x:c>
      <x:c r="B51" s="8" t="str">
        <x:v>People</x:v>
      </x:c>
      <x:c r="C51" s="8" t="str">
        <x:v>Onboard a tester and confirm access</x:v>
      </x:c>
      <x:c r="D51" s="9"/>
      <x:c r="E51" s="9"/>
      <x:c r="F51" s="9"/>
      <x:c r="G51" s="9"/>
      <x:c r="H51" s="9"/>
      <x:c r="I51" s="9"/>
      <x:c r="J51" s="9"/>
      <x:c r="K51" s="8" t="str">
        <x:f>IF(COUNTA(D51:J51)=0,"Unassigned",IF(COUNTIF(D51:J51,"A")+COUNTIF(D51:J51,"R/A")&lt;&gt;1,"Check one A",IF(COUNTIF(D51:J51,"R")+COUNTIF(D51:J51,"R/A")&lt;1,"Add an R","Structurally complete")))</x:f>
        <x:v>Unassigned</x:v>
      </x:c>
      <x:c r="L51" s="8"/>
    </x:row>
    <x:row r="52" ht="23" customHeight="1">
      <x:c r="A52" s="8" t="str">
        <x:v>PE-02</x:v>
      </x:c>
      <x:c r="B52" s="8" t="str">
        <x:v>People</x:v>
      </x:c>
      <x:c r="C52" s="8" t="str">
        <x:v>Revoke access when a tester leaves</x:v>
      </x:c>
      <x:c r="D52" s="9"/>
      <x:c r="E52" s="9"/>
      <x:c r="F52" s="9"/>
      <x:c r="G52" s="9"/>
      <x:c r="H52" s="9"/>
      <x:c r="I52" s="9"/>
      <x:c r="J52" s="9"/>
      <x:c r="K52" s="8" t="str">
        <x:f>IF(COUNTA(D52:J52)=0,"Unassigned",IF(COUNTIF(D52:J52,"A")+COUNTIF(D52:J52,"R/A")&lt;&gt;1,"Check one A",IF(COUNTIF(D52:J52,"R")+COUNTIF(D52:J52,"R/A")&lt;1,"Add an R","Structurally complete")))</x:f>
        <x:v>Unassigned</x:v>
      </x:c>
      <x:c r="L52" s="8"/>
    </x:row>
    <x:row r="53" ht="23" customHeight="1">
      <x:c r="A53" s="8" t="str">
        <x:v>PE-03</x:v>
      </x:c>
      <x:c r="B53" s="8" t="str">
        <x:v>People</x:v>
      </x:c>
      <x:c r="C53" s="8" t="str">
        <x:v>Maintain capability and skills records</x:v>
      </x:c>
      <x:c r="D53" s="9"/>
      <x:c r="E53" s="9"/>
      <x:c r="F53" s="9"/>
      <x:c r="G53" s="9"/>
      <x:c r="H53" s="9"/>
      <x:c r="I53" s="9"/>
      <x:c r="J53" s="9"/>
      <x:c r="K53" s="8" t="str">
        <x:f>IF(COUNTA(D53:J53)=0,"Unassigned",IF(COUNTIF(D53:J53,"A")+COUNTIF(D53:J53,"R/A")&lt;&gt;1,"Check one A",IF(COUNTIF(D53:J53,"R")+COUNTIF(D53:J53,"R/A")&lt;1,"Add an R","Structurally complete")))</x:f>
        <x:v>Unassigned</x:v>
      </x:c>
      <x:c r="L53" s="8"/>
    </x:row>
    <x:row r="54" ht="23" customHeight="1">
      <x:c r="A54" s="8" t="str">
        <x:v>PE-04</x:v>
      </x:c>
      <x:c r="B54" s="8" t="str">
        <x:v>People</x:v>
      </x:c>
      <x:c r="C54" s="8" t="str">
        <x:v>Review program measures</x:v>
      </x:c>
      <x:c r="D54" s="9"/>
      <x:c r="E54" s="9"/>
      <x:c r="F54" s="9"/>
      <x:c r="G54" s="9"/>
      <x:c r="H54" s="9"/>
      <x:c r="I54" s="9"/>
      <x:c r="J54" s="9"/>
      <x:c r="K54" s="8" t="str">
        <x:f>IF(COUNTA(D54:J54)=0,"Unassigned",IF(COUNTIF(D54:J54,"A")+COUNTIF(D54:J54,"R/A")&lt;&gt;1,"Check one A",IF(COUNTIF(D54:J54,"R")+COUNTIF(D54:J54,"R/A")&lt;1,"Add an R","Structurally complete")))</x:f>
        <x:v>Unassigned</x:v>
      </x:c>
      <x:c r="L54" s="8"/>
    </x:row>
    <x:row r="55" ht="23" customHeight="1">
      <x:c r="A55" s="8" t="str">
        <x:v>AU-01</x:v>
      </x:c>
      <x:c r="B55" s="8" t="str">
        <x:v>Audit and disclosure</x:v>
      </x:c>
      <x:c r="C55" s="8" t="str">
        <x:v>Coordinate an audit or information request</x:v>
      </x:c>
      <x:c r="D55" s="9"/>
      <x:c r="E55" s="9"/>
      <x:c r="F55" s="9"/>
      <x:c r="G55" s="9"/>
      <x:c r="H55" s="9"/>
      <x:c r="I55" s="9"/>
      <x:c r="J55" s="9"/>
      <x:c r="K55" s="8" t="str">
        <x:f>IF(COUNTA(D55:J55)=0,"Unassigned",IF(COUNTIF(D55:J55,"A")+COUNTIF(D55:J55,"R/A")&lt;&gt;1,"Check one A",IF(COUNTIF(D55:J55,"R")+COUNTIF(D55:J55,"R/A")&lt;1,"Add an R","Structurally complete")))</x:f>
        <x:v>Unassigned</x:v>
      </x:c>
      <x:c r="L55" s="8"/>
    </x:row>
    <x:row r="56" ht="23" customHeight="1">
      <x:c r="A56" s="8" t="str">
        <x:v>AU-02</x:v>
      </x:c>
      <x:c r="B56" s="8" t="str">
        <x:v>Audit and disclosure</x:v>
      </x:c>
      <x:c r="C56" s="8" t="str">
        <x:v>Issue an approved attestation or summary</x:v>
      </x:c>
      <x:c r="D56" s="9"/>
      <x:c r="E56" s="9"/>
      <x:c r="F56" s="9"/>
      <x:c r="G56" s="9"/>
      <x:c r="H56" s="9"/>
      <x:c r="I56" s="9"/>
      <x:c r="J56" s="9"/>
      <x:c r="K56" s="8" t="str">
        <x:f>IF(COUNTA(D56:J56)=0,"Unassigned",IF(COUNTIF(D56:J56,"A")+COUNTIF(D56:J56,"R/A")&lt;&gt;1,"Check one A",IF(COUNTIF(D56:J56,"R")+COUNTIF(D56:J56,"R/A")&lt;1,"Add an R","Structurally complete")))</x:f>
        <x:v>Unassigned</x:v>
      </x:c>
      <x:c r="L56" s="8"/>
    </x:row>
  </x:sheetData>
  <x:dataValidations count="1">
    <x:dataValidation type="list" sqref="D6:J56">
      <x:formula1>"R,A,R/A,C,I"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6E76"/>
  </x:sheetPr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43" hidden="0" customWidth="1"/>
  </x:cols>
  <x:sheetData>
    <x:row r="2">
      <x:c r="A2" s="2" t="str">
        <x:v>Role map and use</x:v>
      </x:c>
      <x:c r="B2" s="1"/>
      <x:c r="C2" s="1"/>
    </x:row>
    <x:row r="3" ht="25" customHeight="1">
      <x:c r="A3" s="3" t="str">
        <x:v>Replace the example functions with your own roles before assigning a decision. One person may fill several roles.</x:v>
      </x:c>
      <x:c r="B3" s="1"/>
      <x:c r="C3" s="1"/>
    </x:row>
    <x:row r="4">
      <x:c r="A4" s="1"/>
      <x:c r="B4" s="1"/>
      <x:c r="C4" s="1"/>
    </x:row>
    <x:row r="5" ht="28" customHeight="1">
      <x:c r="A5" s="10" t="str">
        <x:v>Slot</x:v>
      </x:c>
      <x:c r="B5" s="10" t="str">
        <x:v>Adopter role or function</x:v>
      </x:c>
      <x:c r="C5" s="10" t="str">
        <x:v>Example remit; edit or remove</x:v>
      </x:c>
    </x:row>
    <x:row r="6">
      <x:c r="A6" s="8" t="str">
        <x:v>Role 1</x:v>
      </x:c>
      <x:c r="B6" s="9" t="str">
        <x:v>Testing practice lead</x:v>
      </x:c>
      <x:c r="C6" s="9" t="str">
        <x:v>Program decisions and escalation</x:v>
      </x:c>
    </x:row>
    <x:row r="7">
      <x:c r="A7" s="8" t="str">
        <x:v>Role 2</x:v>
      </x:c>
      <x:c r="B7" s="9" t="str">
        <x:v>Engagement lead</x:v>
      </x:c>
      <x:c r="C7" s="9" t="str">
        <x:v>Owns an authorized engagement</x:v>
      </x:c>
    </x:row>
    <x:row r="8">
      <x:c r="A8" s="8" t="str">
        <x:v>Role 3</x:v>
      </x:c>
      <x:c r="B8" s="9" t="str">
        <x:v>Tester</x:v>
      </x:c>
      <x:c r="C8" s="9" t="str">
        <x:v>Performs assigned testing work</x:v>
      </x:c>
    </x:row>
    <x:row r="9">
      <x:c r="A9" s="8" t="str">
        <x:v>Role 4</x:v>
      </x:c>
      <x:c r="B9" s="9" t="str">
        <x:v>Target owner</x:v>
      </x:c>
      <x:c r="C9" s="9" t="str">
        <x:v>Owns the system or application under test</x:v>
      </x:c>
    </x:row>
    <x:row r="10">
      <x:c r="A10" s="8" t="str">
        <x:v>Role 5</x:v>
      </x:c>
      <x:c r="B10" s="9" t="str">
        <x:v>Service coordinator</x:v>
      </x:c>
      <x:c r="C10" s="9" t="str">
        <x:v>Plans intake and capacity</x:v>
      </x:c>
    </x:row>
    <x:row r="11">
      <x:c r="A11" s="8" t="str">
        <x:v>Role 6</x:v>
      </x:c>
      <x:c r="B11" s="9" t="str">
        <x:v>Findings partner</x:v>
      </x:c>
      <x:c r="C11" s="9" t="str">
        <x:v>Runs the adopted finding workflow</x:v>
      </x:c>
    </x:row>
    <x:row r="12">
      <x:c r="A12" s="8" t="str">
        <x:v>Role 7</x:v>
      </x:c>
      <x:c r="B12" s="9" t="str">
        <x:v>Specialist partner</x:v>
      </x:c>
      <x:c r="C12" s="9" t="str">
        <x:v>Provides consulted expertise</x:v>
      </x:c>
    </x:row>
    <x:row r="13">
      <x:c r="A13" s="8"/>
      <x:c r="B13" s="8"/>
      <x:c r="C13" s="8"/>
    </x:row>
    <x:row r="14">
      <x:c r="A14" s="8"/>
      <x:c r="B14" s="8"/>
      <x:c r="C14" s="8"/>
    </x:row>
    <x:row r="15">
      <x:c r="A15" s="8" t="str">
        <x:v>R</x:v>
      </x:c>
      <x:c r="B15" s="8" t="str">
        <x:v>Does the work</x:v>
      </x:c>
      <x:c r="C15" s="8"/>
    </x:row>
    <x:row r="16">
      <x:c r="A16" s="8" t="str">
        <x:v>A</x:v>
      </x:c>
      <x:c r="B16" s="8" t="str">
        <x:v>One role owns the outcome or decision</x:v>
      </x:c>
      <x:c r="C16" s="8"/>
    </x:row>
    <x:row r="17">
      <x:c r="A17" s="8" t="str">
        <x:v>R/A</x:v>
      </x:c>
      <x:c r="B17" s="8" t="str">
        <x:v>One role both does the work and owns the outcome</x:v>
      </x:c>
      <x:c r="C17" s="8"/>
    </x:row>
    <x:row r="18">
      <x:c r="A18" s="8" t="str">
        <x:v>C</x:v>
      </x:c>
      <x:c r="B18" s="8" t="str">
        <x:v>Provides two-way input</x:v>
      </x:c>
      <x:c r="C18" s="8"/>
    </x:row>
    <x:row r="19">
      <x:c r="A19" s="8" t="str">
        <x:v>I</x:v>
      </x:c>
      <x:c r="B19" s="8" t="str">
        <x:v>Receives the result or material update</x:v>
      </x:c>
      <x:c r="C19" s="8"/>
    </x:row>
    <x:row r="20">
      <x:c r="A20" s="8" t="str">
        <x:v>Blank</x:v>
      </x:c>
      <x:c r="B20" s="8" t="str">
        <x:v>No standing role in this activity</x:v>
      </x:c>
      <x:c r="C20" s="8"/>
    </x:row>
    <x:row r="21">
      <x:c r="A21" s="8"/>
      <x:c r="B21" s="8"/>
      <x:c r="C21" s="8"/>
    </x:row>
    <x:row r="22">
      <x:c r="A22" s="8" t="str">
        <x:v>Use this as a discussion and configuration aid. The adopting organization defines approvals, exceptions, and escalation routes.</x:v>
      </x:c>
      <x:c r="B22" s="8"/>
      <x:c r="C22" s="8"/>
    </x:row>
  </x:sheetData>
  <x:pageMargins left="0.7" right="0.7" top="0.75" bottom="0.75" header="0.3" footer="0.3"/>
</x:worksheet>
</file>